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dings" sheetId="1" r:id="rId5"/>
    <sheet state="visible" name="VTune counters" sheetId="2" r:id="rId6"/>
    <sheet state="visible" name="Plugged in (3 runs)" sheetId="3" r:id="rId7"/>
    <sheet state="visible" name="First pass (no VTune)" sheetId="4" r:id="rId8"/>
    <sheet state="visible" name="Warm rerun check" sheetId="5" r:id="rId9"/>
    <sheet state="visible" name="Method" sheetId="6" r:id="rId10"/>
  </sheets>
  <definedNames/>
  <calcPr/>
</workbook>
</file>

<file path=xl/sharedStrings.xml><?xml version="1.0" encoding="utf-8"?>
<sst xmlns="http://schemas.openxmlformats.org/spreadsheetml/2006/main" count="146" uniqueCount="122">
  <si>
    <t>Findings: L1D fill-buffer (MSHR) capacity on a Raptor Lake P-core</t>
  </si>
  <si>
    <t>Demand-load misses in flight saturate at about 13–14 (avg 13.1–13.3 over all cycles; 13.8–13.9 while any miss is pending) and stay flat from N=20 to N=128.</t>
  </si>
  <si>
    <t>The fill buffer is the bottleneck: cycles blocked on a full fill buffer go from ≈0% (N≤8) to 12% (N=12), 34% (N=14), 61% (N=16), and 83–89% (N≥20).</t>
  </si>
  <si>
    <t>Miss latency stays ~82–88 ns at every N, and DRAM read bandwidth at the plateau is only ~10 GB/s, so memory latency or bandwidth is not what limits scaling.</t>
  </si>
  <si>
    <t>Saturation sits below the ~16 fill buffers reported for this core. At N=128 the buffer is full 93% of miss cycles yet demand loads average 13.8, so demand loads never hold more than ~14–15 entries at once. Candidate explanations (untested): entries used by hardware-prefetch or other requests, or entries held for some cycles after data returns until the L1 fill completes.</t>
  </si>
  <si>
    <t>This agrees with the earlier timing harness (~13) and with the timing sweep's Little's law estimate (~15, which runs high because its wall-clock latency includes on-core work and time the thread was not running).</t>
  </si>
  <si>
    <t>Speedup above N at small N is real, not an error: at N=1 about 5% of cycles have no miss pending (serial on-core work between misses), which parallel chains hide, and each miss is slightly faster at N=8 (82 ns) than N=1 (88 ns). Together ≈11%, matching the timing efficiency of ~1.1.</t>
  </si>
  <si>
    <t>2 MB pages removed the TLB bottleneck: 0 4K page walks in every run (vs ~1 walk per load, 27% of cycles, when the pool fell back to 4 KB pages).</t>
  </si>
  <si>
    <t>Method notes: launch from an admin prompt (large pages need the elevated token), exclude setup with ITT + -start-paused, keep ≤ ~6 programmable events to avoid multiplexing, and avoid PEBS-only events (Windows hypervisor).</t>
  </si>
  <si>
    <t>Next experiment: add L1D.REPLACEMENT and L2 prefetch-request events to see whether non-demand requests occupy the remaining fill-buffer entries.</t>
  </si>
  <si>
    <t>Warm rerun: N=1 repeatability check</t>
  </si>
  <si>
    <t>Six runs in the order they were run. Purpose: test whether the slow first-pass N=1 was a cold-start effect.</t>
  </si>
  <si>
    <t>Order</t>
  </si>
  <si>
    <t>N</t>
  </si>
  <si>
    <t>ns / load</t>
  </si>
  <si>
    <t>Notes</t>
  </si>
  <si>
    <t>The first N=1 was the fastest, so a cold start was not the problem. N=1 varied by ~24% run to run.</t>
  </si>
  <si>
    <t>Likely cause: long N=1 runs (~25 s) outlast the laptop's boost window while short runs don't. Plugging in and interleaving runs with rests fixed most of this (plugged-in N=1 runs agree within ~7%).</t>
  </si>
  <si>
    <t>N=1 spread (max−min)/min</t>
  </si>
  <si>
    <t>Method: what mlp_chase does</t>
  </si>
  <si>
    <t>Program</t>
  </si>
  <si>
    <t>mlp_chase.exe &lt;N&gt;: interleaved pointer chasing to stress the L1D line fill buffers (the P-core's miss-handling structure).</t>
  </si>
  <si>
    <t>Setup</t>
  </si>
  <si>
    <t>Allocates ~512 MB of 16-byte nodes (2 MB pages if allowed), links them into one big cycle in random memory order, and places N cursors evenly around the cycle.</t>
  </si>
  <si>
    <t>Timed loop</t>
  </si>
  <si>
    <t>Each step advances every cursor once: cur[i] = cur[i]-&gt;next. Loads within a chain depend on each other; loads in different chains do not, so up to N cache misses can be in flight at once.</t>
  </si>
  <si>
    <t>Why random + large pool</t>
  </si>
  <si>
    <t>Random order defeats the hardware prefetchers; a pool far larger than the 24 MB L3 makes every miss go to DRAM (~100 ns), long enough for misses to overlap.</t>
  </si>
  <si>
    <t>Constant work</t>
  </si>
  <si>
    <t>Total loads ≈ 200,000,000 for every N, so runs are directly comparable.</t>
  </si>
  <si>
    <t>Timing</t>
  </si>
  <si>
    <t>QueryPerformanceCounter around the loop only; ns/load = elapsed time ÷ actual loads. Wall-clock time is used because user programs on Windows cannot read cycle counters without a driver.</t>
  </si>
  <si>
    <t>check value</t>
  </si>
  <si>
    <t>XOR of the final cursor addresses. It forces the compiler to keep the loop; the value itself is meaningless and changes every run.</t>
  </si>
  <si>
    <t>Pinning</t>
  </si>
  <si>
    <t>start /affinity 4 → logical CPU 2, a P-core, so the run never migrates to an E-core.</t>
  </si>
  <si>
    <t>Build</t>
  </si>
  <si>
    <t>cl /O2 /Zi mlp_chase.c advapi32.lib /link /DEBUG /INCREMENTAL:NO</t>
  </si>
  <si>
    <t>Plugged-in sweep</t>
  </si>
  <si>
    <t>Warm-up run, then 3 passes over N = 1…128 with 10 s rests; median of 3 per N.</t>
  </si>
  <si>
    <t>Self-pinning</t>
  </si>
  <si>
    <t>Later version calls SetProcessAffinityMask(GetCurrentProcess(), 1&lt;&lt;2) so it stays on logical CPU 2 even when launched by VTune.</t>
  </si>
  <si>
    <t>ITT build</t>
  </si>
  <si>
    <t>cl /O2 /Zi /DUSE_ITT /I &lt;vtune&gt;\sdk\include mlp_chase.c advapi32.lib &lt;vtune&gt;\sdk\lib64\libittnotify.lib /Fe:mlp_chase_itt.exe /link /DEBUG /INCREMENTAL:NO. __itt_resume/__itt_pause bracket the timed loop.</t>
  </si>
  <si>
    <t>VTune collection</t>
  </si>
  <si>
    <t>From an admin prompt (needed for large pages): vtune -collect-with runsa -start-paused -knob event-config=CPU_CLK_UNHALTED.THREAD,CPU_CLK_UNHALTED.REF_TSC,INST_RETIRED.ANY,L1D_PEND_MISS.PENDING,MEMORY_ACTIVITY.CYCLES_L1D_MISS,L1D_PEND_MISS.FB_FULL,MEM_LOAD_COMPLETED.L1_MISS_ANY,DTLB_LOAD_MISSES.WALK_COMPLETED_4K,DTLB_LOAD_MISSES.WALK_COMPLETED_2M_4M -r ev_n&lt;N&gt; -- mlp_chase_itt.exe &lt;N&gt;</t>
  </si>
  <si>
    <t>Why these events</t>
  </si>
  <si>
    <t>6 programmable events fit in the P-core's counters, so no multiplexing. None use PEBS (unavailable with the Windows hypervisor on). Only counts are used, so non-precise sampling loses nothing.</t>
  </si>
  <si>
    <t>First pass without VTune (ON BATTERY): speedup vs number of chains</t>
  </si>
  <si>
    <t>mlp_chase.exe, pinned to logical CPU 2 (P-core), single run per N, battery power. Timing from QueryPerformanceCounter.</t>
  </si>
  <si>
    <t>Perfect-scaling line</t>
  </si>
  <si>
    <t>N (chains)</t>
  </si>
  <si>
    <t>Large pages</t>
  </si>
  <si>
    <t>Loads</t>
  </si>
  <si>
    <t>Speedup vs N=1</t>
  </si>
  <si>
    <t>Efficiency (speedup ÷ N)</t>
  </si>
  <si>
    <t>yes</t>
  </si>
  <si>
    <t>Label: FIRST PASS, timing only, no VTune. Ran on BATTERY power; every N is ~25–35% slower than the plugged-in sweep. Superseded by the 'Plugged in (3 runs)' tab.</t>
  </si>
  <si>
    <t>Page size: 2 MB large pages were used (all runs large_pages=yes) to remove TLB misses and page walks as a bottleneck.</t>
  </si>
  <si>
    <t>CORRECTION: speedup above N (efficiency &gt; 1, orange) is possible: N=1 includes serial on-core work between misses that parallel chains hide (see 'VTune counters'). In this battery run the N=1 baseline was also inflated by power limits.</t>
  </si>
  <si>
    <t>Single run per N, N=1 ran first, and runs had very different lengths (N=1 ≈ 30 s vs N=32 ≈ 2 s).</t>
  </si>
  <si>
    <t>Plugged in: speedup vs number of chains (median of 3 interleaved runs)</t>
  </si>
  <si>
    <t>mlp_chase.exe, 200M loads per run, 2 MB pages (all runs large_pages=yes), pinned to logical CPU 2 (P-core), AC power, one warm-up run, 10 s rest between runs. Timing from QueryPerformanceCounter, no VTune.</t>
  </si>
  <si>
    <t>Run 1 ns/load</t>
  </si>
  <si>
    <t>Run 2 ns/load</t>
  </si>
  <si>
    <t>Run 3 ns/load</t>
  </si>
  <si>
    <t>Median ns/load</t>
  </si>
  <si>
    <t>Spread (max−min)/median</t>
  </si>
  <si>
    <t>Time per load per chain (ns) = median × N</t>
  </si>
  <si>
    <t>Estimated misses in flight = min latency ÷ median</t>
  </si>
  <si>
    <t>Label: plugged-in sweep, timing only, no VTune. Each N ran 3 times, cycling through all N each pass; the median is used.</t>
  </si>
  <si>
    <t>Page size: the node pool uses 2 MB large pages instead of 4 KB. The ~512 MB pool is only 256 pages, which fit in the TLB, so TLB misses and page walks are not what limits scaling.</t>
  </si>
  <si>
    <t>Result: speedup rises almost linearly to N≈14, bends over N≈14–16, and is flat from N=20 to N=128 at ~6.0–6.4 ns/load (speedup ≈ 16–17). The plateau is set by the L1D fill buffers (confirmed by VTune FB_FULL; see 'VTune counters').</t>
  </si>
  <si>
    <t>Little's law estimate from timing (cells below the table): ~15 misses in flight. The VTune counters measure ~13–14 directly; the timing estimate runs high because its latency (91.6 ns, wall clock) includes on-core work and time the thread was not running.</t>
  </si>
  <si>
    <t>CORRECTION: speedup above N (efficiency &gt; 1, orange) IS possible and is real here. At N=1, ~5% of cycles are serial on-core work with no miss pending (VTune: 0.946 misses in flight), which extra chains hide under other chains' misses. VTune also shows each miss is slightly faster at N=8 (82 ns) than at N=1 (88 ns). Together (~11%) these match the measured efficiency of ~1.1 at N=8.</t>
  </si>
  <si>
    <t>Outliers (gray spread &gt; 20%): N=96 run 3 (11.60) and N=128 run 3 (7.36), likely background activity. The median ignores them.</t>
  </si>
  <si>
    <t>Loads are 200,000,000 minus &lt; N because steps = 200M / N uses integer division; ns/load uses the actual count.</t>
  </si>
  <si>
    <t>Min latency per miss (ns)</t>
  </si>
  <si>
    <t>Lowest 'time per load per chain' in column I: the best estimate of one DRAM miss's latency when misses are not waiting for a fill buffer.</t>
  </si>
  <si>
    <t>Plateau median ns/load (N≥20)</t>
  </si>
  <si>
    <t>Misses in flight at plateau</t>
  </si>
  <si>
    <t>Little's law: misses in flight = latency per miss ÷ time between completed loads. Uses the unloaded latency, so it is a slight underestimate.</t>
  </si>
  <si>
    <t>Right chart: while every chain has its own fill buffer, time per chain stays near one DRAM latency (~92–102 ns). Past the fill-buffer limit it grows linearly with N, because extra chains wait in line. The bend is the limit.</t>
  </si>
  <si>
    <t>VTune hardware counters: L1D fill-buffer occupancy vs number of chains</t>
  </si>
  <si>
    <t>mlp_chase_itt.exe, runsa collector, -start-paused (timed loop only), 2 MB pages (0 4K page walks in every run), P-core only (all E-core counts 0), AC power, admin prompt. Counts from 'vtune -report summary'.</t>
  </si>
  <si>
    <t>TSC frequency (Hz)</t>
  </si>
  <si>
    <t>Reported by VTune ('Frequency'); REF_TSC ticks at this rate while the core is running.</t>
  </si>
  <si>
    <t>Elapsed (s)</t>
  </si>
  <si>
    <t>Paused (s)</t>
  </si>
  <si>
    <t>CPU time (s)</t>
  </si>
  <si>
    <t>INST_RETIRED.ANY</t>
  </si>
  <si>
    <t>CPU_CLK_UNHALTED.THREAD</t>
  </si>
  <si>
    <t>CPU_CLK_UNHALTED.REF_TSC</t>
  </si>
  <si>
    <t>L1D_PEND_MISS.PENDING</t>
  </si>
  <si>
    <t>MEMORY_ACTIVITY.CYCLES_L1D_MISS</t>
  </si>
  <si>
    <t>L1D_PEND_MISS.FB_FULL</t>
  </si>
  <si>
    <t>MEM_LOAD_COMPLETED.L1_MISS_ANY</t>
  </si>
  <si>
    <t>DTLB walks 4K</t>
  </si>
  <si>
    <t>DTLB walks 2M</t>
  </si>
  <si>
    <t>FB_FULL samples</t>
  </si>
  <si>
    <t>Avg core freq (GHz) = THREAD÷REF_TSC×TSC</t>
  </si>
  <si>
    <t>L: avg misses in flight = PENDING÷THREAD</t>
  </si>
  <si>
    <t>Misses in flight while any pending = PENDING÷CYCLES_L1D_MISS</t>
  </si>
  <si>
    <t>% cycles with a miss pending = CYCLES_L1D_MISS÷THREAD</t>
  </si>
  <si>
    <t>% cycles blocked on full fill buffer = FB_FULL÷THREAD</t>
  </si>
  <si>
    <t>W: cycles per miss = PENDING÷L1_MISS</t>
  </si>
  <si>
    <t>W: ns per miss</t>
  </si>
  <si>
    <t>Cycles per load = THREAD÷L1_MISS</t>
  </si>
  <si>
    <t>CPU ns per load</t>
  </si>
  <si>
    <t>IPC = INST÷THREAD</t>
  </si>
  <si>
    <t>DRAM read bandwidth (GB/s) = 64 B ÷ ns per load</t>
  </si>
  <si>
    <t>Ideal: in flight = N</t>
  </si>
  <si>
    <t>16 (reported FB size)</t>
  </si>
  <si>
    <t>Plateau (N≥20): avg misses in flight L</t>
  </si>
  <si>
    <t>Plateau (N≥20): misses in flight while any pending</t>
  </si>
  <si>
    <t>Plateau (N≥20): % cycles fill buffer full</t>
  </si>
  <si>
    <t>Miss latency range across all N (ns)</t>
  </si>
  <si>
    <t>Upper bound on demand-held entries at N=128 = (in flight while pending) ÷ (FB_FULL÷CYCLES_L1D_MISS)</t>
  </si>
  <si>
    <t>Clean run check: 0 4K page walks, ~200M L1 misses (one per load), all E-core counts 0, setup excluded by -start-paused.</t>
  </si>
  <si>
    <t>PENDING adds the number of outstanding L1D demand-load misses every cycle, so PENDING ÷ cycles is Little's law L measured directly.</t>
  </si>
  <si>
    <t>FB_FULL at N=1 and N=8 is based on 1–2 samples; treat as ≈0. The key events have thousands of samples (≈2–3% precision).</t>
  </si>
  <si>
    <t>Frequency differs between runs (≈3.5–4.2 GHz). Ratios of two cycle counts (L, FB_FULL %) do not depend on frequency; ns values 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</si>
</sst>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0.000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FF"/>
      <name val="Arial"/>
    </font>
    <font>
      <sz val="11.0"/>
      <color theme="1"/>
      <name val="Calibri"/>
    </font>
    <font>
      <color theme="1"/>
      <name val="Calibri"/>
      <scheme val="minor"/>
    </font>
    <font>
      <i/>
      <sz val="11.0"/>
      <color rgb="FF55555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6" numFmtId="0" xfId="0" applyFont="1"/>
    <xf borderId="1" fillId="0" fontId="4" numFmtId="3" xfId="0" applyAlignment="1" applyBorder="1" applyFont="1" applyNumberFormat="1">
      <alignment shrinkToFit="0" vertical="bottom" wrapText="0"/>
    </xf>
    <xf borderId="1" fillId="0" fontId="5" numFmtId="2" xfId="0" applyAlignment="1" applyBorder="1" applyFont="1" applyNumberFormat="1">
      <alignment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2" fillId="3" fontId="2" numFmtId="165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3" fontId="2" numFmtId="2" xfId="0" applyAlignment="1" applyBorder="1" applyFill="1" applyFont="1" applyNumberFormat="1">
      <alignment shrinkToFit="0" vertical="bottom" wrapText="0"/>
    </xf>
    <xf borderId="2" fillId="3" fontId="4" numFmtId="3" xfId="0" applyAlignment="1" applyBorder="1" applyFill="1" applyFont="1" applyNumberFormat="1">
      <alignment shrinkToFit="0" vertical="bottom" wrapText="0"/>
    </xf>
    <xf borderId="1" fillId="0" fontId="4" numFmtId="166" xfId="0" applyAlignment="1" applyBorder="1" applyFont="1" applyNumberForma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2" fillId="3" fontId="2" numFmtId="164" xfId="0" applyAlignment="1" applyBorder="1" applyFill="1" applyFont="1" applyNumberFormat="1">
      <alignment shrinkToFit="0" vertical="bottom" wrapText="0"/>
    </xf>
    <xf borderId="2" fillId="3" fontId="2" numFmtId="49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Misses in flight vs N (Little's law L, measured)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While any miss pending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9EAD3"/>
              </a:solidFill>
              <a:ln cmpd="sng">
                <a:solidFill>
                  <a:srgbClr val="D9EAD3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counters'!$Q$6:$Q$13</c:f>
              <c:numCache/>
            </c:numRef>
          </c:yVal>
        </c:ser>
        <c:ser>
          <c:idx val="1"/>
          <c:order val="1"/>
          <c:tx>
            <c:v>Average over all cycles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C4587"/>
              </a:solidFill>
              <a:ln cmpd="sng">
                <a:solidFill>
                  <a:srgbClr val="1C4587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counters'!$P$6:$P$13</c:f>
              <c:numCache/>
            </c:numRef>
          </c:yVal>
        </c:ser>
        <c:ser>
          <c:idx val="2"/>
          <c:order val="2"/>
          <c:tx>
            <c:v>Ideal (= 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xVal>
            <c:numRef>
              <c:f>'VTune counters'!$AA$6:$AA$10</c:f>
            </c:numRef>
          </c:xVal>
          <c:yVal>
            <c:numRef>
              <c:f>'VTune counters'!$AB$6:$AB$10</c:f>
              <c:numCache/>
            </c:numRef>
          </c:yVal>
        </c:ser>
        <c:ser>
          <c:idx val="3"/>
          <c:order val="3"/>
          <c:tx>
            <c:v>16 fill buffers (reported)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9D2E9"/>
              </a:solidFill>
              <a:ln cmpd="sng">
                <a:solidFill>
                  <a:srgbClr val="D9D2E9"/>
                </a:solidFill>
              </a:ln>
            </c:spPr>
          </c:marker>
          <c:xVal>
            <c:numRef>
              <c:f>'VTune counters'!$AC$6:$AC$7</c:f>
            </c:numRef>
          </c:xVal>
          <c:yVal>
            <c:numRef>
              <c:f>'VTune counters'!$AD$6:$AD$7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592313"/>
        <c:axId val="1703206455"/>
      </c:scatterChart>
      <c:valAx>
        <c:axId val="1916592313"/>
        <c:scaling>
          <c:orientation val="minMax"/>
          <c:max val="1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chains, log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3206455"/>
      </c:valAx>
      <c:valAx>
        <c:axId val="1703206455"/>
        <c:scaling>
          <c:orientation val="minMax"/>
          <c:max val="1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Outstanding L1D misses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1659231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Cycles blocked on a full fill buffer vs 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FB_FULL ÷ THREAD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counters'!$S$6:$S$13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363800"/>
        <c:axId val="1414267268"/>
      </c:scatterChart>
      <c:valAx>
        <c:axId val="1845363800"/>
        <c:scaling>
          <c:orientation val="minMax"/>
          <c:max val="12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chains, log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4267268"/>
      </c:valAx>
      <c:valAx>
        <c:axId val="141426726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FB_FULL ÷ cycles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536380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DRAM miss latency (W) vs 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W (ns) = PENDING ÷ misses ÷ freq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counters'!$U$6:$U$13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412859"/>
        <c:axId val="201870344"/>
      </c:scatterChart>
      <c:valAx>
        <c:axId val="1943412859"/>
        <c:scaling>
          <c:orientation val="minMax"/>
          <c:max val="12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chains, log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1870344"/>
      </c:valAx>
      <c:valAx>
        <c:axId val="20187034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ns per miss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341285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CPU time per load vs 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Cycles per load ÷ freq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counters'!$W$6:$W$13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928040"/>
        <c:axId val="82343041"/>
      </c:scatterChart>
      <c:valAx>
        <c:axId val="1851928040"/>
        <c:scaling>
          <c:orientation val="minMax"/>
          <c:max val="12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chains, log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343041"/>
      </c:valAx>
      <c:valAx>
        <c:axId val="8234304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ns per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5192804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Misses in flight vs N (Little's law L, measured)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While any miss pending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9EAD3"/>
              </a:solidFill>
              <a:ln cmpd="sng">
                <a:solidFill>
                  <a:srgbClr val="D9EAD3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counters'!$Q$6:$Q$13</c:f>
              <c:numCache/>
            </c:numRef>
          </c:yVal>
        </c:ser>
        <c:ser>
          <c:idx val="1"/>
          <c:order val="1"/>
          <c:tx>
            <c:v>Average over all cycles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C4587"/>
              </a:solidFill>
              <a:ln cmpd="sng">
                <a:solidFill>
                  <a:srgbClr val="1C4587"/>
                </a:solidFill>
              </a:ln>
            </c:spPr>
          </c:marker>
          <c:xVal>
            <c:numRef>
              <c:f>'VTune counters'!$A$6:$A$13</c:f>
            </c:numRef>
          </c:xVal>
          <c:yVal>
            <c:numRef>
              <c:f>'VTune counters'!$P$6:$P$13</c:f>
              <c:numCache/>
            </c:numRef>
          </c:yVal>
        </c:ser>
        <c:ser>
          <c:idx val="2"/>
          <c:order val="2"/>
          <c:tx>
            <c:v>Ideal (= 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xVal>
            <c:numRef>
              <c:f>'VTune counters'!$AA$6:$AA$10</c:f>
            </c:numRef>
          </c:xVal>
          <c:yVal>
            <c:numRef>
              <c:f>'VTune counters'!$AB$6:$AB$10</c:f>
              <c:numCache/>
            </c:numRef>
          </c:yVal>
        </c:ser>
        <c:ser>
          <c:idx val="3"/>
          <c:order val="3"/>
          <c:tx>
            <c:v>16 fill buffers (reported)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9D2E9"/>
              </a:solidFill>
              <a:ln cmpd="sng">
                <a:solidFill>
                  <a:srgbClr val="D9D2E9"/>
                </a:solidFill>
              </a:ln>
            </c:spPr>
          </c:marker>
          <c:xVal>
            <c:numRef>
              <c:f>'VTune counters'!$AC$6:$AC$7</c:f>
            </c:numRef>
          </c:xVal>
          <c:yVal>
            <c:numRef>
              <c:f>'VTune counters'!$AD$6:$AD$7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055858"/>
        <c:axId val="165100941"/>
      </c:scatterChart>
      <c:valAx>
        <c:axId val="1317055858"/>
        <c:scaling>
          <c:orientation val="minMax"/>
          <c:max val="1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chains, normal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100941"/>
      </c:valAx>
      <c:valAx>
        <c:axId val="165100941"/>
        <c:scaling>
          <c:orientation val="minMax"/>
          <c:max val="1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Outstanding L1D misses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705585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vs N (plugged in, median of 3)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Measured speedup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7A44B"/>
              </a:solidFill>
              <a:ln cmpd="sng">
                <a:solidFill>
                  <a:srgbClr val="87A44B"/>
                </a:solidFill>
              </a:ln>
            </c:spPr>
          </c:marker>
          <c:xVal>
            <c:numRef>
              <c:f>'Plugged in (3 runs)'!$A$5:$A$21</c:f>
            </c:numRef>
          </c:xVal>
          <c:yVal>
            <c:numRef>
              <c:f>'Plugged in (3 runs)'!$G$5:$G$21</c:f>
              <c:numCache/>
            </c:numRef>
          </c:yVal>
        </c:ser>
        <c:ser>
          <c:idx val="1"/>
          <c:order val="1"/>
          <c:tx>
            <c:v>Perfect scaling (speedup = 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3C992"/>
              </a:solidFill>
              <a:ln cmpd="sng">
                <a:solidFill>
                  <a:srgbClr val="B3C992"/>
                </a:solidFill>
              </a:ln>
            </c:spPr>
          </c:marker>
          <c:xVal>
            <c:numRef>
              <c:f>'Plugged in (3 runs)'!$L$5:$L$6</c:f>
            </c:numRef>
          </c:xVal>
          <c:yVal>
            <c:numRef>
              <c:f>'Plugged in (3 runs)'!$M$5:$M$6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95387"/>
        <c:axId val="1737283094"/>
      </c:scatterChart>
      <c:valAx>
        <c:axId val="1340895387"/>
        <c:scaling>
          <c:orientation val="minMax"/>
          <c:max val="1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7283094"/>
      </c:valAx>
      <c:valAx>
        <c:axId val="1737283094"/>
        <c:scaling>
          <c:orientation val="minMax"/>
          <c:max val="3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 vs N=1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089538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Time per load per chain vs 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Median ns/load × 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'Plugged in (3 runs)'!$A$5:$A$17</c:f>
            </c:numRef>
          </c:xVal>
          <c:yVal>
            <c:numRef>
              <c:f>'Plugged in (3 runs)'!$I$5:$I$17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200745"/>
        <c:axId val="955292835"/>
      </c:scatterChart>
      <c:valAx>
        <c:axId val="456200745"/>
        <c:scaling>
          <c:orientation val="minMax"/>
          <c:max val="3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5292835"/>
      </c:valAx>
      <c:valAx>
        <c:axId val="955292835"/>
        <c:scaling>
          <c:orientation val="minMax"/>
          <c:max val="2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ns (median ns/load × 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620074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First pass (battery): speedup vs 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Measured speedup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7A44B"/>
              </a:solidFill>
              <a:ln cmpd="sng">
                <a:solidFill>
                  <a:srgbClr val="87A44B"/>
                </a:solidFill>
              </a:ln>
            </c:spPr>
          </c:marker>
          <c:xVal>
            <c:numRef>
              <c:f>'First pass (no VTune)'!$A$5:$A$20</c:f>
            </c:numRef>
          </c:xVal>
          <c:yVal>
            <c:numRef>
              <c:f>'First pass (no VTune)'!$E$5:$E$20</c:f>
              <c:numCache/>
            </c:numRef>
          </c:yVal>
        </c:ser>
        <c:ser>
          <c:idx val="1"/>
          <c:order val="1"/>
          <c:tx>
            <c:v>Perfect scaling (speedup = 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3C992"/>
              </a:solidFill>
              <a:ln cmpd="sng">
                <a:solidFill>
                  <a:srgbClr val="B3C992"/>
                </a:solidFill>
              </a:ln>
            </c:spPr>
          </c:marker>
          <c:xVal>
            <c:numRef>
              <c:f>'First pass (no VTune)'!$H$4:$H$5</c:f>
            </c:numRef>
          </c:xVal>
          <c:yVal>
            <c:numRef>
              <c:f>'First pass (no VTune)'!$I$4:$I$5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020844"/>
        <c:axId val="741941628"/>
      </c:scatterChart>
      <c:valAx>
        <c:axId val="1851020844"/>
        <c:scaling>
          <c:orientation val="minMax"/>
          <c:max val="3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 (independent chains)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1941628"/>
      </c:valAx>
      <c:valAx>
        <c:axId val="741941628"/>
        <c:scaling>
          <c:orientation val="minMax"/>
          <c:max val="3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 vs N=1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5102084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152400</xdr:rowOff>
    </xdr:from>
    <xdr:ext cx="5829300" cy="3600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20</xdr:row>
      <xdr:rowOff>152400</xdr:rowOff>
    </xdr:from>
    <xdr:ext cx="5810250" cy="36004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323850</xdr:colOff>
      <xdr:row>40</xdr:row>
      <xdr:rowOff>152400</xdr:rowOff>
    </xdr:from>
    <xdr:ext cx="5829300" cy="3600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40</xdr:row>
      <xdr:rowOff>152400</xdr:rowOff>
    </xdr:from>
    <xdr:ext cx="5810250" cy="36004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40</xdr:row>
      <xdr:rowOff>152400</xdr:rowOff>
    </xdr:from>
    <xdr:ext cx="5829300" cy="3600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133350</xdr:rowOff>
    </xdr:from>
    <xdr:ext cx="6162675" cy="3781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14</xdr:row>
      <xdr:rowOff>133350</xdr:rowOff>
    </xdr:from>
    <xdr:ext cx="6200775" cy="3781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19050</xdr:rowOff>
    </xdr:from>
    <xdr:ext cx="6153150" cy="3781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0.0"/>
    <col customWidth="1" min="3" max="26" width="8.71"/>
  </cols>
  <sheetData>
    <row r="1">
      <c r="A1" s="1" t="s">
        <v>0</v>
      </c>
    </row>
    <row r="3">
      <c r="A3" s="2">
        <v>1.0</v>
      </c>
      <c r="B3" s="3" t="s">
        <v>1</v>
      </c>
    </row>
    <row r="4">
      <c r="A4" s="2">
        <v>2.0</v>
      </c>
      <c r="B4" s="3" t="s">
        <v>2</v>
      </c>
    </row>
    <row r="5">
      <c r="A5" s="2">
        <v>3.0</v>
      </c>
      <c r="B5" s="3" t="s">
        <v>3</v>
      </c>
    </row>
    <row r="6">
      <c r="A6" s="2">
        <v>4.0</v>
      </c>
      <c r="B6" s="3" t="s">
        <v>4</v>
      </c>
    </row>
    <row r="7">
      <c r="A7" s="2">
        <v>5.0</v>
      </c>
      <c r="B7" s="3" t="s">
        <v>5</v>
      </c>
    </row>
    <row r="8">
      <c r="A8" s="2">
        <v>6.0</v>
      </c>
      <c r="B8" s="3" t="s">
        <v>6</v>
      </c>
    </row>
    <row r="9">
      <c r="A9" s="2">
        <v>7.0</v>
      </c>
      <c r="B9" s="3" t="s">
        <v>7</v>
      </c>
    </row>
    <row r="10">
      <c r="A10" s="2">
        <v>8.0</v>
      </c>
      <c r="B10" s="3" t="s">
        <v>8</v>
      </c>
    </row>
    <row r="11">
      <c r="A11" s="2">
        <v>9.0</v>
      </c>
      <c r="B11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0.0"/>
    <col customWidth="1" min="2" max="14" width="13.0"/>
    <col customWidth="1" min="15" max="25" width="14.0"/>
    <col customWidth="1" min="26" max="30" width="8.71"/>
  </cols>
  <sheetData>
    <row r="1">
      <c r="A1" s="1" t="s">
        <v>83</v>
      </c>
    </row>
    <row r="2">
      <c r="A2" s="4" t="s">
        <v>84</v>
      </c>
    </row>
    <row r="3">
      <c r="A3" s="10" t="s">
        <v>85</v>
      </c>
      <c r="B3" s="22">
        <v>2.995202377E9</v>
      </c>
      <c r="C3" s="20" t="s">
        <v>86</v>
      </c>
    </row>
    <row r="5" ht="90.0" customHeight="1">
      <c r="A5" s="5" t="s">
        <v>51</v>
      </c>
      <c r="B5" s="5" t="s">
        <v>87</v>
      </c>
      <c r="C5" s="5" t="s">
        <v>88</v>
      </c>
      <c r="D5" s="5" t="s">
        <v>89</v>
      </c>
      <c r="E5" s="5" t="s">
        <v>90</v>
      </c>
      <c r="F5" s="5" t="s">
        <v>91</v>
      </c>
      <c r="G5" s="5" t="s">
        <v>92</v>
      </c>
      <c r="H5" s="5" t="s">
        <v>93</v>
      </c>
      <c r="I5" s="5" t="s">
        <v>94</v>
      </c>
      <c r="J5" s="5" t="s">
        <v>95</v>
      </c>
      <c r="K5" s="5" t="s">
        <v>96</v>
      </c>
      <c r="L5" s="5" t="s">
        <v>97</v>
      </c>
      <c r="M5" s="5" t="s">
        <v>98</v>
      </c>
      <c r="N5" s="5" t="s">
        <v>99</v>
      </c>
      <c r="O5" s="5" t="s">
        <v>100</v>
      </c>
      <c r="P5" s="5" t="s">
        <v>101</v>
      </c>
      <c r="Q5" s="5" t="s">
        <v>102</v>
      </c>
      <c r="R5" s="5" t="s">
        <v>103</v>
      </c>
      <c r="S5" s="5" t="s">
        <v>104</v>
      </c>
      <c r="T5" s="5" t="s">
        <v>105</v>
      </c>
      <c r="U5" s="5" t="s">
        <v>106</v>
      </c>
      <c r="V5" s="5" t="s">
        <v>107</v>
      </c>
      <c r="W5" s="5" t="s">
        <v>108</v>
      </c>
      <c r="X5" s="5" t="s">
        <v>109</v>
      </c>
      <c r="Y5" s="5" t="s">
        <v>110</v>
      </c>
      <c r="AA5" s="10" t="s">
        <v>111</v>
      </c>
      <c r="AC5" s="10" t="s">
        <v>112</v>
      </c>
    </row>
    <row r="6">
      <c r="A6" s="14">
        <v>1.0</v>
      </c>
      <c r="B6" s="23">
        <v>20.563</v>
      </c>
      <c r="C6" s="23">
        <v>0.661</v>
      </c>
      <c r="D6" s="23">
        <v>18.679</v>
      </c>
      <c r="E6" s="14">
        <v>2.672004008E9</v>
      </c>
      <c r="F6" s="14">
        <v>7.6946115419E10</v>
      </c>
      <c r="G6" s="14">
        <v>5.5948083922E10</v>
      </c>
      <c r="H6" s="14">
        <v>7.2802218406E10</v>
      </c>
      <c r="I6" s="14">
        <v>7.2666217998E10</v>
      </c>
      <c r="J6" s="14">
        <v>4000012.0</v>
      </c>
      <c r="K6" s="14">
        <v>2.02000606E8</v>
      </c>
      <c r="L6" s="14">
        <v>0.0</v>
      </c>
      <c r="M6" s="14">
        <v>1200036.0</v>
      </c>
      <c r="N6" s="14">
        <v>2.0</v>
      </c>
      <c r="O6" s="16">
        <f t="shared" ref="O6:O13" si="1">F6/G6*$B$3/1000000000</f>
        <v>4.119340139</v>
      </c>
      <c r="P6" s="16">
        <f t="shared" ref="P6:P13" si="2">H6/F6</f>
        <v>0.9461454683</v>
      </c>
      <c r="Q6" s="16">
        <f t="shared" ref="Q6:Q13" si="3">H6/I6</f>
        <v>1.001871577</v>
      </c>
      <c r="R6" s="17">
        <f t="shared" ref="R6:R13" si="4">I6/F6</f>
        <v>0.9443779923</v>
      </c>
      <c r="S6" s="17">
        <f t="shared" ref="S6:S13" si="5">J6/F6</f>
        <v>0.00005198458659</v>
      </c>
      <c r="T6" s="24">
        <f t="shared" ref="T6:T13" si="6">H6/K6</f>
        <v>360.4059406</v>
      </c>
      <c r="U6" s="18">
        <f t="shared" ref="U6:U13" si="7">T6/O6</f>
        <v>87.49118267</v>
      </c>
      <c r="V6" s="18">
        <f t="shared" ref="V6:V13" si="8">F6/K6</f>
        <v>380.9202207</v>
      </c>
      <c r="W6" s="16">
        <f t="shared" ref="W6:W13" si="9">V6/O6</f>
        <v>92.47117447</v>
      </c>
      <c r="X6" s="25">
        <f t="shared" ref="X6:X13" si="10">E6/F6</f>
        <v>0.03472565176</v>
      </c>
      <c r="Y6" s="18">
        <f t="shared" ref="Y6:Y13" si="11">64/W6</f>
        <v>0.6921075715</v>
      </c>
      <c r="AA6" s="4">
        <v>1.0</v>
      </c>
      <c r="AB6" s="4">
        <v>1.0</v>
      </c>
      <c r="AC6" s="4">
        <v>1.0</v>
      </c>
      <c r="AD6" s="4">
        <v>16.0</v>
      </c>
    </row>
    <row r="7">
      <c r="A7" s="14">
        <v>8.0</v>
      </c>
      <c r="B7" s="23">
        <v>3.53</v>
      </c>
      <c r="C7" s="23">
        <v>0.925</v>
      </c>
      <c r="D7" s="23">
        <v>2.27</v>
      </c>
      <c r="E7" s="14">
        <v>1.390002085E9</v>
      </c>
      <c r="F7" s="14">
        <v>9.276013914E9</v>
      </c>
      <c r="G7" s="14">
        <v>6.8000102E9</v>
      </c>
      <c r="H7" s="14">
        <v>6.7316201948E10</v>
      </c>
      <c r="I7" s="14">
        <v>9.024027072E9</v>
      </c>
      <c r="J7" s="14">
        <v>2000006.0</v>
      </c>
      <c r="K7" s="14">
        <v>2.000006E8</v>
      </c>
      <c r="L7" s="14">
        <v>0.0</v>
      </c>
      <c r="M7" s="14">
        <v>0.0</v>
      </c>
      <c r="N7" s="14">
        <v>1.0</v>
      </c>
      <c r="O7" s="16">
        <f t="shared" si="1"/>
        <v>4.085808419</v>
      </c>
      <c r="P7" s="16">
        <f t="shared" si="2"/>
        <v>7.257018216</v>
      </c>
      <c r="Q7" s="16">
        <f t="shared" si="3"/>
        <v>7.459663121</v>
      </c>
      <c r="R7" s="17">
        <f t="shared" si="4"/>
        <v>0.972834577</v>
      </c>
      <c r="S7" s="17">
        <f t="shared" si="5"/>
        <v>0.0002156105002</v>
      </c>
      <c r="T7" s="24">
        <f t="shared" si="6"/>
        <v>336.58</v>
      </c>
      <c r="U7" s="18">
        <f t="shared" si="7"/>
        <v>82.37782233</v>
      </c>
      <c r="V7" s="18">
        <f t="shared" si="8"/>
        <v>46.37993043</v>
      </c>
      <c r="W7" s="16">
        <f t="shared" si="9"/>
        <v>11.35146969</v>
      </c>
      <c r="X7" s="25">
        <f t="shared" si="10"/>
        <v>0.1498490729</v>
      </c>
      <c r="Y7" s="18">
        <f t="shared" si="11"/>
        <v>5.638036461</v>
      </c>
      <c r="AA7" s="4">
        <v>2.0</v>
      </c>
      <c r="AB7" s="4">
        <v>2.0</v>
      </c>
      <c r="AC7" s="4">
        <v>128.0</v>
      </c>
      <c r="AD7" s="4">
        <v>16.0</v>
      </c>
    </row>
    <row r="8">
      <c r="A8" s="14">
        <v>12.0</v>
      </c>
      <c r="B8" s="23">
        <v>2.997</v>
      </c>
      <c r="C8" s="23">
        <v>0.933</v>
      </c>
      <c r="D8" s="23">
        <v>1.697</v>
      </c>
      <c r="E8" s="14">
        <v>1.354002031E9</v>
      </c>
      <c r="F8" s="14">
        <v>6.264009396E9</v>
      </c>
      <c r="G8" s="14">
        <v>5.082007623E9</v>
      </c>
      <c r="H8" s="14">
        <v>6.4376193128E10</v>
      </c>
      <c r="I8" s="14">
        <v>6.022018066E9</v>
      </c>
      <c r="J8" s="14">
        <v>7.52002256E8</v>
      </c>
      <c r="K8" s="14">
        <v>1.98000594E8</v>
      </c>
      <c r="L8" s="14">
        <v>0.0</v>
      </c>
      <c r="M8" s="14">
        <v>200006.0</v>
      </c>
      <c r="N8" s="14">
        <v>376.0</v>
      </c>
      <c r="O8" s="16">
        <f t="shared" si="1"/>
        <v>3.691843308</v>
      </c>
      <c r="P8" s="16">
        <f t="shared" si="2"/>
        <v>10.27715462</v>
      </c>
      <c r="Q8" s="16">
        <f t="shared" si="3"/>
        <v>10.69013617</v>
      </c>
      <c r="R8" s="17">
        <f t="shared" si="4"/>
        <v>0.961367981</v>
      </c>
      <c r="S8" s="17">
        <f t="shared" si="5"/>
        <v>0.1200512656</v>
      </c>
      <c r="T8" s="24">
        <f t="shared" si="6"/>
        <v>325.1313131</v>
      </c>
      <c r="U8" s="18">
        <f t="shared" si="7"/>
        <v>88.06747363</v>
      </c>
      <c r="V8" s="18">
        <f t="shared" si="8"/>
        <v>31.63631618</v>
      </c>
      <c r="W8" s="16">
        <f t="shared" si="9"/>
        <v>8.569246727</v>
      </c>
      <c r="X8" s="25">
        <f t="shared" si="10"/>
        <v>0.216155811</v>
      </c>
      <c r="Y8" s="18">
        <f t="shared" si="11"/>
        <v>7.468567779</v>
      </c>
      <c r="AA8" s="4">
        <v>4.0</v>
      </c>
      <c r="AB8" s="4">
        <v>4.0</v>
      </c>
    </row>
    <row r="9">
      <c r="A9" s="14">
        <v>14.0</v>
      </c>
      <c r="B9" s="23">
        <v>2.66</v>
      </c>
      <c r="C9" s="23">
        <v>0.89</v>
      </c>
      <c r="D9" s="23">
        <v>1.463</v>
      </c>
      <c r="E9" s="14">
        <v>1.324001986E9</v>
      </c>
      <c r="F9" s="14">
        <v>5.456008184E9</v>
      </c>
      <c r="G9" s="14">
        <v>4.382006573E9</v>
      </c>
      <c r="H9" s="14">
        <v>6.3498190494E10</v>
      </c>
      <c r="I9" s="14">
        <v>5.258015774E9</v>
      </c>
      <c r="J9" s="14">
        <v>1.836005508E9</v>
      </c>
      <c r="K9" s="14">
        <v>1.98000594E8</v>
      </c>
      <c r="L9" s="14">
        <v>0.0</v>
      </c>
      <c r="M9" s="14">
        <v>0.0</v>
      </c>
      <c r="N9" s="14">
        <v>918.0</v>
      </c>
      <c r="O9" s="16">
        <f t="shared" si="1"/>
        <v>3.729307204</v>
      </c>
      <c r="P9" s="16">
        <f t="shared" si="2"/>
        <v>11.63821394</v>
      </c>
      <c r="Q9" s="16">
        <f t="shared" si="3"/>
        <v>12.07645493</v>
      </c>
      <c r="R9" s="17">
        <f t="shared" si="4"/>
        <v>0.963711123</v>
      </c>
      <c r="S9" s="17">
        <f t="shared" si="5"/>
        <v>0.3365107687</v>
      </c>
      <c r="T9" s="24">
        <f t="shared" si="6"/>
        <v>320.6969697</v>
      </c>
      <c r="U9" s="18">
        <f t="shared" si="7"/>
        <v>85.993712</v>
      </c>
      <c r="V9" s="18">
        <f t="shared" si="8"/>
        <v>27.55551422</v>
      </c>
      <c r="W9" s="16">
        <f t="shared" si="9"/>
        <v>7.388909713</v>
      </c>
      <c r="X9" s="25">
        <f t="shared" si="10"/>
        <v>0.2426686217</v>
      </c>
      <c r="Y9" s="18">
        <f t="shared" si="11"/>
        <v>8.661629725</v>
      </c>
      <c r="AA9" s="4">
        <v>8.0</v>
      </c>
      <c r="AB9" s="4">
        <v>8.0</v>
      </c>
    </row>
    <row r="10">
      <c r="A10" s="14">
        <v>16.0</v>
      </c>
      <c r="B10" s="23">
        <v>2.551</v>
      </c>
      <c r="C10" s="23">
        <v>0.845</v>
      </c>
      <c r="D10" s="23">
        <v>1.378</v>
      </c>
      <c r="E10" s="14">
        <v>1.332001998E9</v>
      </c>
      <c r="F10" s="14">
        <v>4.926007389E9</v>
      </c>
      <c r="G10" s="14">
        <v>4.126006189E9</v>
      </c>
      <c r="H10" s="14">
        <v>6.0978182934E10</v>
      </c>
      <c r="I10" s="14">
        <v>4.688014064E9</v>
      </c>
      <c r="J10" s="14">
        <v>3.024009072E9</v>
      </c>
      <c r="K10" s="14">
        <v>1.98000594E8</v>
      </c>
      <c r="L10" s="14">
        <v>0.0</v>
      </c>
      <c r="M10" s="14">
        <v>0.0</v>
      </c>
      <c r="N10" s="14">
        <v>1512.0</v>
      </c>
      <c r="O10" s="16">
        <f t="shared" si="1"/>
        <v>3.575949324</v>
      </c>
      <c r="P10" s="16">
        <f t="shared" si="2"/>
        <v>12.3788249</v>
      </c>
      <c r="Q10" s="16">
        <f t="shared" si="3"/>
        <v>13.00725256</v>
      </c>
      <c r="R10" s="17">
        <f t="shared" si="4"/>
        <v>0.9516863646</v>
      </c>
      <c r="S10" s="17">
        <f t="shared" si="5"/>
        <v>0.6138864263</v>
      </c>
      <c r="T10" s="24">
        <f t="shared" si="6"/>
        <v>307.969697</v>
      </c>
      <c r="U10" s="18">
        <f t="shared" si="7"/>
        <v>86.12250038</v>
      </c>
      <c r="V10" s="18">
        <f t="shared" si="8"/>
        <v>24.87875056</v>
      </c>
      <c r="W10" s="16">
        <f t="shared" si="9"/>
        <v>6.957243604</v>
      </c>
      <c r="X10" s="25">
        <f t="shared" si="10"/>
        <v>0.2704019488</v>
      </c>
      <c r="Y10" s="18">
        <f t="shared" si="11"/>
        <v>9.199045432</v>
      </c>
      <c r="AA10" s="4">
        <v>16.0</v>
      </c>
      <c r="AB10" s="4">
        <v>16.0</v>
      </c>
    </row>
    <row r="11">
      <c r="A11" s="14">
        <v>20.0</v>
      </c>
      <c r="B11" s="23">
        <v>2.32</v>
      </c>
      <c r="C11" s="23">
        <v>0.789</v>
      </c>
      <c r="D11" s="23">
        <v>1.238</v>
      </c>
      <c r="E11" s="14">
        <v>1.304001956E9</v>
      </c>
      <c r="F11" s="14">
        <v>5.190007785E9</v>
      </c>
      <c r="G11" s="14">
        <v>3.708005562E9</v>
      </c>
      <c r="H11" s="14">
        <v>6.898020694E10</v>
      </c>
      <c r="I11" s="14">
        <v>4.962014886E9</v>
      </c>
      <c r="J11" s="14">
        <v>4.316012948E9</v>
      </c>
      <c r="K11" s="14">
        <v>1.98000594E8</v>
      </c>
      <c r="L11" s="14">
        <v>0.0</v>
      </c>
      <c r="M11" s="14">
        <v>0.0</v>
      </c>
      <c r="N11" s="14">
        <v>2158.0</v>
      </c>
      <c r="O11" s="16">
        <f t="shared" si="1"/>
        <v>4.192314007</v>
      </c>
      <c r="P11" s="16">
        <f t="shared" si="2"/>
        <v>13.29096406</v>
      </c>
      <c r="Q11" s="16">
        <f t="shared" si="3"/>
        <v>13.90165256</v>
      </c>
      <c r="R11" s="17">
        <f t="shared" si="4"/>
        <v>0.9560707983</v>
      </c>
      <c r="S11" s="17">
        <f t="shared" si="5"/>
        <v>0.8316004767</v>
      </c>
      <c r="T11" s="24">
        <f t="shared" si="6"/>
        <v>348.3838384</v>
      </c>
      <c r="U11" s="18">
        <f t="shared" si="7"/>
        <v>83.10060693</v>
      </c>
      <c r="V11" s="18">
        <f t="shared" si="8"/>
        <v>26.21208189</v>
      </c>
      <c r="W11" s="16">
        <f t="shared" si="9"/>
        <v>6.252413787</v>
      </c>
      <c r="X11" s="25">
        <f t="shared" si="10"/>
        <v>0.2512524085</v>
      </c>
      <c r="Y11" s="18">
        <f t="shared" si="11"/>
        <v>10.23604678</v>
      </c>
    </row>
    <row r="12">
      <c r="A12" s="14">
        <v>32.0</v>
      </c>
      <c r="B12" s="23">
        <v>2.368</v>
      </c>
      <c r="C12" s="23">
        <v>0.712</v>
      </c>
      <c r="D12" s="23">
        <v>1.32</v>
      </c>
      <c r="E12" s="14">
        <v>1.282001923E9</v>
      </c>
      <c r="F12" s="14">
        <v>4.716007074E9</v>
      </c>
      <c r="G12" s="14">
        <v>3.954005931E9</v>
      </c>
      <c r="H12" s="14">
        <v>6.1968185904E10</v>
      </c>
      <c r="I12" s="14">
        <v>4.458013374E9</v>
      </c>
      <c r="J12" s="14">
        <v>3.992011976E9</v>
      </c>
      <c r="K12" s="14">
        <v>1.98000594E8</v>
      </c>
      <c r="L12" s="14">
        <v>0.0</v>
      </c>
      <c r="M12" s="14">
        <v>0.0</v>
      </c>
      <c r="N12" s="14">
        <v>1996.0</v>
      </c>
      <c r="O12" s="16">
        <f t="shared" si="1"/>
        <v>3.572426507</v>
      </c>
      <c r="P12" s="16">
        <f t="shared" si="2"/>
        <v>13.13996882</v>
      </c>
      <c r="Q12" s="16">
        <f t="shared" si="3"/>
        <v>13.90040377</v>
      </c>
      <c r="R12" s="17">
        <f t="shared" si="4"/>
        <v>0.9452940388</v>
      </c>
      <c r="S12" s="17">
        <f t="shared" si="5"/>
        <v>0.8464813376</v>
      </c>
      <c r="T12" s="24">
        <f t="shared" si="6"/>
        <v>312.969697</v>
      </c>
      <c r="U12" s="18">
        <f t="shared" si="7"/>
        <v>87.60703581</v>
      </c>
      <c r="V12" s="18">
        <f t="shared" si="8"/>
        <v>23.81814609</v>
      </c>
      <c r="W12" s="16">
        <f t="shared" si="9"/>
        <v>6.667217938</v>
      </c>
      <c r="X12" s="25">
        <f t="shared" si="10"/>
        <v>0.2718405428</v>
      </c>
      <c r="Y12" s="18">
        <f t="shared" si="11"/>
        <v>9.599206235</v>
      </c>
    </row>
    <row r="13">
      <c r="A13" s="14">
        <v>128.0</v>
      </c>
      <c r="B13" s="23">
        <v>2.16</v>
      </c>
      <c r="C13" s="23">
        <v>0.679</v>
      </c>
      <c r="D13" s="23">
        <v>1.24</v>
      </c>
      <c r="E13" s="14">
        <v>1.244001866E9</v>
      </c>
      <c r="F13" s="14">
        <v>4.4000066E9</v>
      </c>
      <c r="G13" s="14">
        <v>3.714005571E9</v>
      </c>
      <c r="H13" s="14">
        <v>5.7752173256E10</v>
      </c>
      <c r="I13" s="14">
        <v>4.192012576E9</v>
      </c>
      <c r="J13" s="14">
        <v>3.908011724E9</v>
      </c>
      <c r="K13" s="14">
        <v>1.92000576E8</v>
      </c>
      <c r="L13" s="14">
        <v>0.0</v>
      </c>
      <c r="M13" s="14">
        <v>0.0</v>
      </c>
      <c r="N13" s="14">
        <v>1954.0</v>
      </c>
      <c r="O13" s="16">
        <f t="shared" si="1"/>
        <v>3.548435772</v>
      </c>
      <c r="P13" s="16">
        <f t="shared" si="2"/>
        <v>13.12547423</v>
      </c>
      <c r="Q13" s="16">
        <f t="shared" si="3"/>
        <v>13.77671756</v>
      </c>
      <c r="R13" s="17">
        <f t="shared" si="4"/>
        <v>0.9527287018</v>
      </c>
      <c r="S13" s="17">
        <f t="shared" si="5"/>
        <v>0.8881831505</v>
      </c>
      <c r="T13" s="24">
        <f t="shared" si="6"/>
        <v>300.7916667</v>
      </c>
      <c r="U13" s="18">
        <f t="shared" si="7"/>
        <v>84.76739779</v>
      </c>
      <c r="V13" s="18">
        <f t="shared" si="8"/>
        <v>22.91663229</v>
      </c>
      <c r="W13" s="16">
        <f t="shared" si="9"/>
        <v>6.458235054</v>
      </c>
      <c r="X13" s="25">
        <f t="shared" si="10"/>
        <v>0.2827272727</v>
      </c>
      <c r="Y13" s="18">
        <f t="shared" si="11"/>
        <v>9.909828222</v>
      </c>
    </row>
    <row r="15">
      <c r="A15" s="10" t="s">
        <v>113</v>
      </c>
      <c r="F15" s="21">
        <f>AVERAGE(P11:P13)</f>
        <v>13.18546904</v>
      </c>
    </row>
    <row r="16">
      <c r="A16" s="10" t="s">
        <v>114</v>
      </c>
      <c r="F16" s="21">
        <f>AVERAGE(Q11:Q13)</f>
        <v>13.8595913</v>
      </c>
    </row>
    <row r="17">
      <c r="A17" s="10" t="s">
        <v>115</v>
      </c>
      <c r="F17" s="26">
        <f>AVERAGE(S11:S13)</f>
        <v>0.8554216549</v>
      </c>
    </row>
    <row r="18">
      <c r="A18" s="10" t="s">
        <v>116</v>
      </c>
      <c r="F18" s="27" t="str">
        <f>TEXT(MIN(U6:U13),"0.0")&amp;" – "&amp;TEXT(MAX(U6:U13),"0.0")</f>
        <v>82.4 – 88.1</v>
      </c>
    </row>
    <row r="19">
      <c r="A19" s="10" t="s">
        <v>117</v>
      </c>
      <c r="F19" s="19">
        <f>Q13/(J13/I13)</f>
        <v>14.7778915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A63" s="10" t="s">
        <v>15</v>
      </c>
    </row>
    <row r="64" ht="15.75" customHeight="1">
      <c r="A64" s="4" t="s">
        <v>118</v>
      </c>
    </row>
    <row r="65" ht="15.75" customHeight="1">
      <c r="A65" s="4" t="s">
        <v>119</v>
      </c>
    </row>
    <row r="66" ht="15.75" customHeight="1">
      <c r="A66" s="4" t="s">
        <v>120</v>
      </c>
    </row>
    <row r="67" ht="15.75" customHeight="1">
      <c r="A67" s="4" t="s">
        <v>121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5:E15"/>
    <mergeCell ref="A16:E16"/>
    <mergeCell ref="A17:E17"/>
    <mergeCell ref="A18:E18"/>
    <mergeCell ref="A19:E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5" width="11.0"/>
    <col customWidth="1" min="6" max="6" width="13.0"/>
    <col customWidth="1" min="7" max="7" width="11.0"/>
    <col customWidth="1" min="8" max="8" width="13.0"/>
    <col customWidth="1" min="9" max="10" width="17.0"/>
    <col customWidth="1" min="11" max="11" width="3.0"/>
    <col customWidth="1" min="12" max="12" width="12.0"/>
    <col customWidth="1" min="13" max="13" width="8.0"/>
    <col customWidth="1" min="14" max="14" width="3.0"/>
    <col customWidth="1" min="15" max="15" width="70.0"/>
    <col customWidth="1" min="16" max="26" width="8.71"/>
  </cols>
  <sheetData>
    <row r="1">
      <c r="A1" s="1" t="s">
        <v>61</v>
      </c>
    </row>
    <row r="2">
      <c r="A2" s="4" t="s">
        <v>62</v>
      </c>
    </row>
    <row r="4" ht="45.0" customHeight="1">
      <c r="A4" s="5" t="s">
        <v>51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54</v>
      </c>
      <c r="H4" s="5" t="s">
        <v>55</v>
      </c>
      <c r="I4" s="5" t="s">
        <v>68</v>
      </c>
      <c r="J4" s="5" t="s">
        <v>69</v>
      </c>
      <c r="L4" s="10" t="s">
        <v>50</v>
      </c>
      <c r="O4" s="6" t="s">
        <v>15</v>
      </c>
    </row>
    <row r="5">
      <c r="A5" s="8">
        <v>1.0</v>
      </c>
      <c r="B5" s="9">
        <v>101.87</v>
      </c>
      <c r="C5" s="9">
        <v>102.02</v>
      </c>
      <c r="D5" s="9">
        <v>95.11</v>
      </c>
      <c r="E5" s="16">
        <f t="shared" ref="E5:E21" si="1">MEDIAN(B5:D5)</f>
        <v>101.87</v>
      </c>
      <c r="F5" s="17">
        <f t="shared" ref="F5:F21" si="2">(MAX(B5:D5)-MIN(B5:D5))/E5</f>
        <v>0.06783155001</v>
      </c>
      <c r="G5" s="16">
        <f t="shared" ref="G5:G21" si="3">$E$5/E5</f>
        <v>1</v>
      </c>
      <c r="H5" s="16">
        <f t="shared" ref="H5:H21" si="4">G5/A5</f>
        <v>1</v>
      </c>
      <c r="I5" s="18">
        <f t="shared" ref="I5:I21" si="5">E5*A5</f>
        <v>101.87</v>
      </c>
      <c r="J5" s="18">
        <f t="shared" ref="J5:J21" si="6">$B$24/E5</f>
        <v>0.8991852361</v>
      </c>
      <c r="L5" s="4">
        <v>0.0</v>
      </c>
      <c r="M5" s="4">
        <v>0.0</v>
      </c>
      <c r="O5" s="3" t="s">
        <v>70</v>
      </c>
    </row>
    <row r="6">
      <c r="A6" s="8">
        <v>2.0</v>
      </c>
      <c r="B6" s="9">
        <v>48.58</v>
      </c>
      <c r="C6" s="9">
        <v>48.75</v>
      </c>
      <c r="D6" s="9">
        <v>45.35</v>
      </c>
      <c r="E6" s="16">
        <f t="shared" si="1"/>
        <v>48.58</v>
      </c>
      <c r="F6" s="17">
        <f t="shared" si="2"/>
        <v>0.06998764924</v>
      </c>
      <c r="G6" s="16">
        <f t="shared" si="3"/>
        <v>2.096953479</v>
      </c>
      <c r="H6" s="16">
        <f t="shared" si="4"/>
        <v>1.048476739</v>
      </c>
      <c r="I6" s="18">
        <f t="shared" si="5"/>
        <v>97.16</v>
      </c>
      <c r="J6" s="18">
        <f t="shared" si="6"/>
        <v>1.885549609</v>
      </c>
      <c r="L6" s="4">
        <v>34.0</v>
      </c>
      <c r="M6" s="4">
        <v>34.0</v>
      </c>
      <c r="O6" s="3" t="s">
        <v>71</v>
      </c>
    </row>
    <row r="7">
      <c r="A7" s="8">
        <v>4.0</v>
      </c>
      <c r="B7" s="9">
        <v>23.44</v>
      </c>
      <c r="C7" s="9">
        <v>23.53</v>
      </c>
      <c r="D7" s="9">
        <v>23.32</v>
      </c>
      <c r="E7" s="16">
        <f t="shared" si="1"/>
        <v>23.44</v>
      </c>
      <c r="F7" s="17">
        <f t="shared" si="2"/>
        <v>0.008959044369</v>
      </c>
      <c r="G7" s="16">
        <f t="shared" si="3"/>
        <v>4.345989761</v>
      </c>
      <c r="H7" s="16">
        <f t="shared" si="4"/>
        <v>1.08649744</v>
      </c>
      <c r="I7" s="18">
        <f t="shared" si="5"/>
        <v>93.76</v>
      </c>
      <c r="J7" s="18">
        <f t="shared" si="6"/>
        <v>3.907849829</v>
      </c>
      <c r="O7" s="3" t="s">
        <v>72</v>
      </c>
    </row>
    <row r="8">
      <c r="A8" s="8">
        <v>8.0</v>
      </c>
      <c r="B8" s="9">
        <v>11.72</v>
      </c>
      <c r="C8" s="9">
        <v>11.45</v>
      </c>
      <c r="D8" s="9">
        <v>11.44</v>
      </c>
      <c r="E8" s="16">
        <f t="shared" si="1"/>
        <v>11.45</v>
      </c>
      <c r="F8" s="17">
        <f t="shared" si="2"/>
        <v>0.02445414847</v>
      </c>
      <c r="G8" s="16">
        <f t="shared" si="3"/>
        <v>8.896943231</v>
      </c>
      <c r="H8" s="16">
        <f t="shared" si="4"/>
        <v>1.112117904</v>
      </c>
      <c r="I8" s="18">
        <f t="shared" si="5"/>
        <v>91.6</v>
      </c>
      <c r="J8" s="18">
        <f t="shared" si="6"/>
        <v>8</v>
      </c>
      <c r="O8" s="3" t="s">
        <v>73</v>
      </c>
    </row>
    <row r="9">
      <c r="A9" s="8">
        <v>10.0</v>
      </c>
      <c r="B9" s="9">
        <v>9.46</v>
      </c>
      <c r="C9" s="9">
        <v>9.71</v>
      </c>
      <c r="D9" s="9">
        <v>9.24</v>
      </c>
      <c r="E9" s="16">
        <f t="shared" si="1"/>
        <v>9.46</v>
      </c>
      <c r="F9" s="17">
        <f t="shared" si="2"/>
        <v>0.04968287526</v>
      </c>
      <c r="G9" s="16">
        <f t="shared" si="3"/>
        <v>10.76849894</v>
      </c>
      <c r="H9" s="16">
        <f t="shared" si="4"/>
        <v>1.076849894</v>
      </c>
      <c r="I9" s="18">
        <f t="shared" si="5"/>
        <v>94.6</v>
      </c>
      <c r="J9" s="18">
        <f t="shared" si="6"/>
        <v>9.682875264</v>
      </c>
      <c r="O9" s="3" t="s">
        <v>74</v>
      </c>
    </row>
    <row r="10">
      <c r="A10" s="8">
        <v>12.0</v>
      </c>
      <c r="B10" s="9">
        <v>8.16</v>
      </c>
      <c r="C10" s="9">
        <v>8.12</v>
      </c>
      <c r="D10" s="9">
        <v>8.2</v>
      </c>
      <c r="E10" s="16">
        <f t="shared" si="1"/>
        <v>8.16</v>
      </c>
      <c r="F10" s="17">
        <f t="shared" si="2"/>
        <v>0.009803921569</v>
      </c>
      <c r="G10" s="16">
        <f t="shared" si="3"/>
        <v>12.48406863</v>
      </c>
      <c r="H10" s="16">
        <f t="shared" si="4"/>
        <v>1.040339052</v>
      </c>
      <c r="I10" s="18">
        <f t="shared" si="5"/>
        <v>97.92</v>
      </c>
      <c r="J10" s="18">
        <f t="shared" si="6"/>
        <v>11.2254902</v>
      </c>
      <c r="O10" s="3" t="s">
        <v>75</v>
      </c>
    </row>
    <row r="11">
      <c r="A11" s="8">
        <v>13.0</v>
      </c>
      <c r="B11" s="9">
        <v>7.53</v>
      </c>
      <c r="C11" s="9">
        <v>7.43</v>
      </c>
      <c r="D11" s="9">
        <v>7.37</v>
      </c>
      <c r="E11" s="16">
        <f t="shared" si="1"/>
        <v>7.43</v>
      </c>
      <c r="F11" s="17">
        <f t="shared" si="2"/>
        <v>0.02153432032</v>
      </c>
      <c r="G11" s="16">
        <f t="shared" si="3"/>
        <v>13.71063257</v>
      </c>
      <c r="H11" s="16">
        <f t="shared" si="4"/>
        <v>1.054664044</v>
      </c>
      <c r="I11" s="18">
        <f t="shared" si="5"/>
        <v>96.59</v>
      </c>
      <c r="J11" s="18">
        <f t="shared" si="6"/>
        <v>12.32839838</v>
      </c>
      <c r="O11" s="3" t="s">
        <v>76</v>
      </c>
    </row>
    <row r="12">
      <c r="A12" s="8">
        <v>14.0</v>
      </c>
      <c r="B12" s="9">
        <v>7.04</v>
      </c>
      <c r="C12" s="9">
        <v>7.09</v>
      </c>
      <c r="D12" s="9">
        <v>7.28</v>
      </c>
      <c r="E12" s="16">
        <f t="shared" si="1"/>
        <v>7.09</v>
      </c>
      <c r="F12" s="17">
        <f t="shared" si="2"/>
        <v>0.03385049365</v>
      </c>
      <c r="G12" s="16">
        <f t="shared" si="3"/>
        <v>14.36812412</v>
      </c>
      <c r="H12" s="16">
        <f t="shared" si="4"/>
        <v>1.02629458</v>
      </c>
      <c r="I12" s="18">
        <f t="shared" si="5"/>
        <v>99.26</v>
      </c>
      <c r="J12" s="18">
        <f t="shared" si="6"/>
        <v>12.91960508</v>
      </c>
    </row>
    <row r="13">
      <c r="A13" s="8">
        <v>15.0</v>
      </c>
      <c r="B13" s="9">
        <v>6.82</v>
      </c>
      <c r="C13" s="9">
        <v>7.09</v>
      </c>
      <c r="D13" s="9">
        <v>6.94</v>
      </c>
      <c r="E13" s="16">
        <f t="shared" si="1"/>
        <v>6.94</v>
      </c>
      <c r="F13" s="17">
        <f t="shared" si="2"/>
        <v>0.03890489914</v>
      </c>
      <c r="G13" s="16">
        <f t="shared" si="3"/>
        <v>14.67867435</v>
      </c>
      <c r="H13" s="16">
        <f t="shared" si="4"/>
        <v>0.9785782901</v>
      </c>
      <c r="I13" s="18">
        <f t="shared" si="5"/>
        <v>104.1</v>
      </c>
      <c r="J13" s="18">
        <f t="shared" si="6"/>
        <v>13.19884726</v>
      </c>
    </row>
    <row r="14">
      <c r="A14" s="8">
        <v>16.0</v>
      </c>
      <c r="B14" s="9">
        <v>6.68</v>
      </c>
      <c r="C14" s="9">
        <v>6.68</v>
      </c>
      <c r="D14" s="9">
        <v>6.75</v>
      </c>
      <c r="E14" s="16">
        <f t="shared" si="1"/>
        <v>6.68</v>
      </c>
      <c r="F14" s="17">
        <f t="shared" si="2"/>
        <v>0.01047904192</v>
      </c>
      <c r="G14" s="16">
        <f t="shared" si="3"/>
        <v>15.25</v>
      </c>
      <c r="H14" s="16">
        <f t="shared" si="4"/>
        <v>0.953125</v>
      </c>
      <c r="I14" s="18">
        <f t="shared" si="5"/>
        <v>106.88</v>
      </c>
      <c r="J14" s="18">
        <f t="shared" si="6"/>
        <v>13.71257485</v>
      </c>
    </row>
    <row r="15">
      <c r="A15" s="8">
        <v>20.0</v>
      </c>
      <c r="B15" s="9">
        <v>6.26</v>
      </c>
      <c r="C15" s="9">
        <v>6.2</v>
      </c>
      <c r="D15" s="9">
        <v>6.19</v>
      </c>
      <c r="E15" s="16">
        <f t="shared" si="1"/>
        <v>6.2</v>
      </c>
      <c r="F15" s="17">
        <f t="shared" si="2"/>
        <v>0.01129032258</v>
      </c>
      <c r="G15" s="16">
        <f t="shared" si="3"/>
        <v>16.43064516</v>
      </c>
      <c r="H15" s="16">
        <f t="shared" si="4"/>
        <v>0.8215322581</v>
      </c>
      <c r="I15" s="18">
        <f t="shared" si="5"/>
        <v>124</v>
      </c>
      <c r="J15" s="18">
        <f t="shared" si="6"/>
        <v>14.77419355</v>
      </c>
    </row>
    <row r="16">
      <c r="A16" s="8">
        <v>24.0</v>
      </c>
      <c r="B16" s="9">
        <v>6.29</v>
      </c>
      <c r="C16" s="9">
        <v>5.98</v>
      </c>
      <c r="D16" s="9">
        <v>6.09</v>
      </c>
      <c r="E16" s="16">
        <f t="shared" si="1"/>
        <v>6.09</v>
      </c>
      <c r="F16" s="17">
        <f t="shared" si="2"/>
        <v>0.05090311987</v>
      </c>
      <c r="G16" s="16">
        <f t="shared" si="3"/>
        <v>16.727422</v>
      </c>
      <c r="H16" s="16">
        <f t="shared" si="4"/>
        <v>0.6969759168</v>
      </c>
      <c r="I16" s="18">
        <f t="shared" si="5"/>
        <v>146.16</v>
      </c>
      <c r="J16" s="18">
        <f t="shared" si="6"/>
        <v>15.0410509</v>
      </c>
    </row>
    <row r="17">
      <c r="A17" s="8">
        <v>32.0</v>
      </c>
      <c r="B17" s="9">
        <v>6.3</v>
      </c>
      <c r="C17" s="9">
        <v>5.97</v>
      </c>
      <c r="D17" s="9">
        <v>6.01</v>
      </c>
      <c r="E17" s="16">
        <f t="shared" si="1"/>
        <v>6.01</v>
      </c>
      <c r="F17" s="17">
        <f t="shared" si="2"/>
        <v>0.05490848586</v>
      </c>
      <c r="G17" s="16">
        <f t="shared" si="3"/>
        <v>16.95008319</v>
      </c>
      <c r="H17" s="16">
        <f t="shared" si="4"/>
        <v>0.5296900998</v>
      </c>
      <c r="I17" s="18">
        <f t="shared" si="5"/>
        <v>192.32</v>
      </c>
      <c r="J17" s="18">
        <f t="shared" si="6"/>
        <v>15.24126456</v>
      </c>
    </row>
    <row r="18">
      <c r="A18" s="8">
        <v>48.0</v>
      </c>
      <c r="B18" s="9">
        <v>6.27</v>
      </c>
      <c r="C18" s="9">
        <v>6.05</v>
      </c>
      <c r="D18" s="9">
        <v>6.07</v>
      </c>
      <c r="E18" s="16">
        <f t="shared" si="1"/>
        <v>6.07</v>
      </c>
      <c r="F18" s="17">
        <f t="shared" si="2"/>
        <v>0.03624382208</v>
      </c>
      <c r="G18" s="16">
        <f t="shared" si="3"/>
        <v>16.78253707</v>
      </c>
      <c r="H18" s="16">
        <f t="shared" si="4"/>
        <v>0.3496361889</v>
      </c>
      <c r="I18" s="18">
        <f t="shared" si="5"/>
        <v>291.36</v>
      </c>
      <c r="J18" s="18">
        <f t="shared" si="6"/>
        <v>15.09060956</v>
      </c>
    </row>
    <row r="19">
      <c r="A19" s="8">
        <v>64.0</v>
      </c>
      <c r="B19" s="9">
        <v>6.08</v>
      </c>
      <c r="C19" s="9">
        <v>6.05</v>
      </c>
      <c r="D19" s="9">
        <v>5.98</v>
      </c>
      <c r="E19" s="16">
        <f t="shared" si="1"/>
        <v>6.05</v>
      </c>
      <c r="F19" s="17">
        <f t="shared" si="2"/>
        <v>0.01652892562</v>
      </c>
      <c r="G19" s="16">
        <f t="shared" si="3"/>
        <v>16.83801653</v>
      </c>
      <c r="H19" s="16">
        <f t="shared" si="4"/>
        <v>0.2630940083</v>
      </c>
      <c r="I19" s="18">
        <f t="shared" si="5"/>
        <v>387.2</v>
      </c>
      <c r="J19" s="18">
        <f t="shared" si="6"/>
        <v>15.14049587</v>
      </c>
    </row>
    <row r="20">
      <c r="A20" s="8">
        <v>96.0</v>
      </c>
      <c r="B20" s="9">
        <v>6.13</v>
      </c>
      <c r="C20" s="9">
        <v>6.4</v>
      </c>
      <c r="D20" s="9">
        <v>11.6</v>
      </c>
      <c r="E20" s="16">
        <f t="shared" si="1"/>
        <v>6.4</v>
      </c>
      <c r="F20" s="17">
        <f t="shared" si="2"/>
        <v>0.8546875</v>
      </c>
      <c r="G20" s="16">
        <f t="shared" si="3"/>
        <v>15.9171875</v>
      </c>
      <c r="H20" s="16">
        <f t="shared" si="4"/>
        <v>0.1658040365</v>
      </c>
      <c r="I20" s="18">
        <f t="shared" si="5"/>
        <v>614.4</v>
      </c>
      <c r="J20" s="18">
        <f t="shared" si="6"/>
        <v>14.3125</v>
      </c>
    </row>
    <row r="21" ht="15.75" customHeight="1">
      <c r="A21" s="8">
        <v>128.0</v>
      </c>
      <c r="B21" s="9">
        <v>6.0</v>
      </c>
      <c r="C21" s="9">
        <v>6.47</v>
      </c>
      <c r="D21" s="9">
        <v>7.36</v>
      </c>
      <c r="E21" s="16">
        <f t="shared" si="1"/>
        <v>6.47</v>
      </c>
      <c r="F21" s="17">
        <f t="shared" si="2"/>
        <v>0.2102009274</v>
      </c>
      <c r="G21" s="16">
        <f t="shared" si="3"/>
        <v>15.74497682</v>
      </c>
      <c r="H21" s="16">
        <f t="shared" si="4"/>
        <v>0.1230076314</v>
      </c>
      <c r="I21" s="18">
        <f t="shared" si="5"/>
        <v>828.16</v>
      </c>
      <c r="J21" s="18">
        <f t="shared" si="6"/>
        <v>14.1576507</v>
      </c>
    </row>
    <row r="22" ht="15.75" customHeight="1"/>
    <row r="23" ht="15.75" customHeight="1"/>
    <row r="24" ht="15.75" customHeight="1">
      <c r="A24" s="10" t="s">
        <v>77</v>
      </c>
      <c r="B24" s="19">
        <f>MIN(I5:I21)</f>
        <v>91.6</v>
      </c>
      <c r="C24" s="20" t="s">
        <v>78</v>
      </c>
    </row>
    <row r="25" ht="15.75" customHeight="1">
      <c r="A25" s="10" t="s">
        <v>79</v>
      </c>
      <c r="B25" s="21">
        <f>MEDIAN(E15:E21)</f>
        <v>6.09</v>
      </c>
    </row>
    <row r="26" ht="15.75" customHeight="1">
      <c r="A26" s="10" t="s">
        <v>80</v>
      </c>
      <c r="B26" s="19">
        <f>B24/B25</f>
        <v>15.0410509</v>
      </c>
      <c r="C26" s="20" t="s">
        <v>81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A50" s="20" t="s">
        <v>82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21">
    <cfRule type="expression" dxfId="0" priority="1">
      <formula>H5&gt;1</formula>
    </cfRule>
  </conditionalFormatting>
  <conditionalFormatting sqref="F5:F21">
    <cfRule type="expression" dxfId="1" priority="2">
      <formula>F5&gt;0.2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0"/>
    <col customWidth="1" min="3" max="3" width="14.0"/>
    <col customWidth="1" min="4" max="4" width="10.0"/>
    <col customWidth="1" min="5" max="5" width="12.0"/>
    <col customWidth="1" min="6" max="6" width="14.0"/>
    <col customWidth="1" min="7" max="7" width="3.0"/>
    <col customWidth="1" min="8" max="8" width="10.0"/>
    <col customWidth="1" min="9" max="9" width="8.0"/>
    <col customWidth="1" min="10" max="10" width="3.0"/>
    <col customWidth="1" min="11" max="11" width="70.0"/>
    <col customWidth="1" min="12" max="26" width="8.71"/>
  </cols>
  <sheetData>
    <row r="1">
      <c r="A1" s="1" t="s">
        <v>48</v>
      </c>
    </row>
    <row r="2">
      <c r="A2" s="4" t="s">
        <v>49</v>
      </c>
    </row>
    <row r="3">
      <c r="H3" s="10" t="s">
        <v>50</v>
      </c>
    </row>
    <row r="4" ht="45.0" customHeight="1">
      <c r="A4" s="5" t="s">
        <v>51</v>
      </c>
      <c r="B4" s="5" t="s">
        <v>52</v>
      </c>
      <c r="C4" s="5" t="s">
        <v>53</v>
      </c>
      <c r="D4" s="5" t="s">
        <v>14</v>
      </c>
      <c r="E4" s="5" t="s">
        <v>54</v>
      </c>
      <c r="F4" s="5" t="s">
        <v>55</v>
      </c>
      <c r="H4" s="4">
        <v>0.0</v>
      </c>
      <c r="I4" s="13">
        <v>0.0</v>
      </c>
      <c r="K4" s="6" t="s">
        <v>15</v>
      </c>
    </row>
    <row r="5">
      <c r="A5" s="8">
        <v>1.0</v>
      </c>
      <c r="B5" s="8" t="s">
        <v>56</v>
      </c>
      <c r="C5" s="14">
        <v>2.0E8</v>
      </c>
      <c r="D5" s="9">
        <v>148.2</v>
      </c>
      <c r="E5" s="15">
        <f t="shared" ref="E5:E20" si="1">$D$5/D5</f>
        <v>1</v>
      </c>
      <c r="F5" s="15">
        <f t="shared" ref="F5:F20" si="2">E5/A5</f>
        <v>1</v>
      </c>
      <c r="H5" s="13">
        <v>34.0</v>
      </c>
      <c r="I5" s="13">
        <v>34.0</v>
      </c>
      <c r="K5" s="3" t="s">
        <v>57</v>
      </c>
    </row>
    <row r="6">
      <c r="A6" s="8">
        <v>2.0</v>
      </c>
      <c r="B6" s="8" t="s">
        <v>56</v>
      </c>
      <c r="C6" s="14">
        <v>2.0E8</v>
      </c>
      <c r="D6" s="9">
        <v>68.81</v>
      </c>
      <c r="E6" s="15">
        <f t="shared" si="1"/>
        <v>2.153756721</v>
      </c>
      <c r="F6" s="15">
        <f t="shared" si="2"/>
        <v>1.076878361</v>
      </c>
      <c r="K6" s="3" t="s">
        <v>58</v>
      </c>
    </row>
    <row r="7">
      <c r="A7" s="8">
        <v>4.0</v>
      </c>
      <c r="B7" s="8" t="s">
        <v>56</v>
      </c>
      <c r="C7" s="14">
        <v>2.0E8</v>
      </c>
      <c r="D7" s="9">
        <v>33.46</v>
      </c>
      <c r="E7" s="15">
        <f t="shared" si="1"/>
        <v>4.429169157</v>
      </c>
      <c r="F7" s="15">
        <f t="shared" si="2"/>
        <v>1.107292289</v>
      </c>
      <c r="K7" s="3" t="s">
        <v>59</v>
      </c>
    </row>
    <row r="8">
      <c r="A8" s="8">
        <v>6.0</v>
      </c>
      <c r="B8" s="8" t="s">
        <v>56</v>
      </c>
      <c r="C8" s="14">
        <v>1.99999998E8</v>
      </c>
      <c r="D8" s="9">
        <v>22.09</v>
      </c>
      <c r="E8" s="15">
        <f t="shared" si="1"/>
        <v>6.708918062</v>
      </c>
      <c r="F8" s="15">
        <f t="shared" si="2"/>
        <v>1.11815301</v>
      </c>
      <c r="K8" s="3" t="s">
        <v>60</v>
      </c>
    </row>
    <row r="9">
      <c r="A9" s="8">
        <v>8.0</v>
      </c>
      <c r="B9" s="8" t="s">
        <v>56</v>
      </c>
      <c r="C9" s="14">
        <v>2.0E8</v>
      </c>
      <c r="D9" s="9">
        <v>16.51</v>
      </c>
      <c r="E9" s="15">
        <f t="shared" si="1"/>
        <v>8.976377953</v>
      </c>
      <c r="F9" s="15">
        <f t="shared" si="2"/>
        <v>1.122047244</v>
      </c>
    </row>
    <row r="10">
      <c r="A10" s="8">
        <v>10.0</v>
      </c>
      <c r="B10" s="8" t="s">
        <v>56</v>
      </c>
      <c r="C10" s="14">
        <v>2.0E8</v>
      </c>
      <c r="D10" s="9">
        <v>13.23</v>
      </c>
      <c r="E10" s="15">
        <f t="shared" si="1"/>
        <v>11.20181406</v>
      </c>
      <c r="F10" s="15">
        <f t="shared" si="2"/>
        <v>1.120181406</v>
      </c>
    </row>
    <row r="11">
      <c r="A11" s="8">
        <v>11.0</v>
      </c>
      <c r="B11" s="8" t="s">
        <v>56</v>
      </c>
      <c r="C11" s="14">
        <v>1.99999998E8</v>
      </c>
      <c r="D11" s="9">
        <v>12.12</v>
      </c>
      <c r="E11" s="15">
        <f t="shared" si="1"/>
        <v>12.22772277</v>
      </c>
      <c r="F11" s="15">
        <f t="shared" si="2"/>
        <v>1.111611161</v>
      </c>
    </row>
    <row r="12">
      <c r="A12" s="8">
        <v>12.0</v>
      </c>
      <c r="B12" s="8" t="s">
        <v>56</v>
      </c>
      <c r="C12" s="14">
        <v>1.99999992E8</v>
      </c>
      <c r="D12" s="9">
        <v>11.26</v>
      </c>
      <c r="E12" s="15">
        <f t="shared" si="1"/>
        <v>13.1616341</v>
      </c>
      <c r="F12" s="15">
        <f t="shared" si="2"/>
        <v>1.096802842</v>
      </c>
    </row>
    <row r="13">
      <c r="A13" s="8">
        <v>13.0</v>
      </c>
      <c r="B13" s="8" t="s">
        <v>56</v>
      </c>
      <c r="C13" s="14">
        <v>1.99999995E8</v>
      </c>
      <c r="D13" s="9">
        <v>10.55</v>
      </c>
      <c r="E13" s="15">
        <f t="shared" si="1"/>
        <v>14.04739336</v>
      </c>
      <c r="F13" s="15">
        <f t="shared" si="2"/>
        <v>1.08056872</v>
      </c>
    </row>
    <row r="14">
      <c r="A14" s="8">
        <v>14.0</v>
      </c>
      <c r="B14" s="8" t="s">
        <v>56</v>
      </c>
      <c r="C14" s="14">
        <v>1.99999996E8</v>
      </c>
      <c r="D14" s="9">
        <v>10.19</v>
      </c>
      <c r="E14" s="15">
        <f t="shared" si="1"/>
        <v>14.54367026</v>
      </c>
      <c r="F14" s="15">
        <f t="shared" si="2"/>
        <v>1.03883359</v>
      </c>
    </row>
    <row r="15">
      <c r="A15" s="8">
        <v>15.0</v>
      </c>
      <c r="B15" s="8" t="s">
        <v>56</v>
      </c>
      <c r="C15" s="14">
        <v>1.99999995E8</v>
      </c>
      <c r="D15" s="9">
        <v>9.74</v>
      </c>
      <c r="E15" s="15">
        <f t="shared" si="1"/>
        <v>15.21560575</v>
      </c>
      <c r="F15" s="15">
        <f t="shared" si="2"/>
        <v>1.014373717</v>
      </c>
    </row>
    <row r="16">
      <c r="A16" s="8">
        <v>16.0</v>
      </c>
      <c r="B16" s="8" t="s">
        <v>56</v>
      </c>
      <c r="C16" s="14">
        <v>2.0E8</v>
      </c>
      <c r="D16" s="9">
        <v>9.42</v>
      </c>
      <c r="E16" s="15">
        <f t="shared" si="1"/>
        <v>15.73248408</v>
      </c>
      <c r="F16" s="15">
        <f t="shared" si="2"/>
        <v>0.9832802548</v>
      </c>
    </row>
    <row r="17">
      <c r="A17" s="8">
        <v>18.0</v>
      </c>
      <c r="B17" s="8" t="s">
        <v>56</v>
      </c>
      <c r="C17" s="14">
        <v>1.99999998E8</v>
      </c>
      <c r="D17" s="9">
        <v>9.13</v>
      </c>
      <c r="E17" s="15">
        <f t="shared" si="1"/>
        <v>16.23220153</v>
      </c>
      <c r="F17" s="15">
        <f t="shared" si="2"/>
        <v>0.9017889741</v>
      </c>
    </row>
    <row r="18">
      <c r="A18" s="8">
        <v>20.0</v>
      </c>
      <c r="B18" s="8" t="s">
        <v>56</v>
      </c>
      <c r="C18" s="14">
        <v>2.0E8</v>
      </c>
      <c r="D18" s="9">
        <v>8.95</v>
      </c>
      <c r="E18" s="15">
        <f t="shared" si="1"/>
        <v>16.55865922</v>
      </c>
      <c r="F18" s="15">
        <f t="shared" si="2"/>
        <v>0.8279329609</v>
      </c>
    </row>
    <row r="19">
      <c r="A19" s="8">
        <v>24.0</v>
      </c>
      <c r="B19" s="8" t="s">
        <v>56</v>
      </c>
      <c r="C19" s="14">
        <v>1.99999992E8</v>
      </c>
      <c r="D19" s="9">
        <v>8.85</v>
      </c>
      <c r="E19" s="15">
        <f t="shared" si="1"/>
        <v>16.74576271</v>
      </c>
      <c r="F19" s="15">
        <f t="shared" si="2"/>
        <v>0.697740113</v>
      </c>
    </row>
    <row r="20">
      <c r="A20" s="8">
        <v>32.0</v>
      </c>
      <c r="B20" s="8" t="s">
        <v>56</v>
      </c>
      <c r="C20" s="14">
        <v>2.0E8</v>
      </c>
      <c r="D20" s="9">
        <v>8.79</v>
      </c>
      <c r="E20" s="15">
        <f t="shared" si="1"/>
        <v>16.86006826</v>
      </c>
      <c r="F20" s="15">
        <f t="shared" si="2"/>
        <v>0.5268771331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20">
    <cfRule type="expression" dxfId="0" priority="1">
      <formula>F5&gt;1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8.0"/>
    <col customWidth="1" min="3" max="3" width="11.0"/>
    <col customWidth="1" min="4" max="4" width="3.0"/>
    <col customWidth="1" min="5" max="5" width="70.0"/>
    <col customWidth="1" min="6" max="26" width="8.71"/>
  </cols>
  <sheetData>
    <row r="1">
      <c r="A1" s="1" t="s">
        <v>10</v>
      </c>
    </row>
    <row r="2">
      <c r="A2" s="4" t="s">
        <v>11</v>
      </c>
    </row>
    <row r="4" ht="45.0" customHeight="1">
      <c r="A4" s="5" t="s">
        <v>12</v>
      </c>
      <c r="B4" s="5" t="s">
        <v>13</v>
      </c>
      <c r="C4" s="5" t="s">
        <v>14</v>
      </c>
      <c r="E4" s="6" t="s">
        <v>15</v>
      </c>
    </row>
    <row r="5">
      <c r="A5" s="7">
        <v>1.0</v>
      </c>
      <c r="B5" s="8">
        <v>1.0</v>
      </c>
      <c r="C5" s="9">
        <v>105.76</v>
      </c>
      <c r="E5" s="3" t="s">
        <v>16</v>
      </c>
    </row>
    <row r="6">
      <c r="A6" s="7">
        <v>2.0</v>
      </c>
      <c r="B6" s="8">
        <v>8.0</v>
      </c>
      <c r="C6" s="9">
        <v>12.42</v>
      </c>
      <c r="E6" s="3" t="s">
        <v>17</v>
      </c>
    </row>
    <row r="7">
      <c r="A7" s="7">
        <v>3.0</v>
      </c>
      <c r="B7" s="8">
        <v>1.0</v>
      </c>
      <c r="C7" s="9">
        <v>126.41</v>
      </c>
    </row>
    <row r="8">
      <c r="A8" s="7">
        <v>4.0</v>
      </c>
      <c r="B8" s="8">
        <v>16.0</v>
      </c>
      <c r="C8" s="9">
        <v>6.77</v>
      </c>
    </row>
    <row r="9">
      <c r="A9" s="7">
        <v>5.0</v>
      </c>
      <c r="B9" s="8">
        <v>1.0</v>
      </c>
      <c r="C9" s="9">
        <v>131.12</v>
      </c>
    </row>
    <row r="10">
      <c r="A10" s="7">
        <v>6.0</v>
      </c>
      <c r="B10" s="8">
        <v>1.0</v>
      </c>
      <c r="C10" s="9">
        <v>125.69</v>
      </c>
    </row>
    <row r="12">
      <c r="A12" s="10" t="s">
        <v>18</v>
      </c>
      <c r="C12" s="11">
        <f>(MAX(C5,C7,C9,C10)-MIN(C5,C7,C9,C10))/MIN(C5,C7,C9,C10)</f>
        <v>0.2397881997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5.0"/>
    <col customWidth="1" min="3" max="26" width="8.71"/>
  </cols>
  <sheetData>
    <row r="1">
      <c r="A1" s="1" t="s">
        <v>19</v>
      </c>
    </row>
    <row r="3">
      <c r="A3" s="12" t="s">
        <v>20</v>
      </c>
      <c r="B3" s="3" t="s">
        <v>21</v>
      </c>
    </row>
    <row r="4">
      <c r="A4" s="12" t="s">
        <v>22</v>
      </c>
      <c r="B4" s="3" t="s">
        <v>23</v>
      </c>
    </row>
    <row r="5">
      <c r="A5" s="12" t="s">
        <v>24</v>
      </c>
      <c r="B5" s="3" t="s">
        <v>25</v>
      </c>
    </row>
    <row r="6">
      <c r="A6" s="12" t="s">
        <v>26</v>
      </c>
      <c r="B6" s="3" t="s">
        <v>27</v>
      </c>
    </row>
    <row r="7">
      <c r="A7" s="12" t="s">
        <v>28</v>
      </c>
      <c r="B7" s="3" t="s">
        <v>29</v>
      </c>
    </row>
    <row r="8">
      <c r="A8" s="12" t="s">
        <v>30</v>
      </c>
      <c r="B8" s="3" t="s">
        <v>31</v>
      </c>
    </row>
    <row r="9">
      <c r="A9" s="12" t="s">
        <v>32</v>
      </c>
      <c r="B9" s="3" t="s">
        <v>33</v>
      </c>
    </row>
    <row r="10">
      <c r="A10" s="12" t="s">
        <v>34</v>
      </c>
      <c r="B10" s="3" t="s">
        <v>35</v>
      </c>
    </row>
    <row r="11">
      <c r="A11" s="12" t="s">
        <v>36</v>
      </c>
      <c r="B11" s="3" t="s">
        <v>37</v>
      </c>
    </row>
    <row r="12">
      <c r="A12" s="12" t="s">
        <v>38</v>
      </c>
      <c r="B12" s="3" t="s">
        <v>39</v>
      </c>
    </row>
    <row r="13">
      <c r="A13" s="12" t="s">
        <v>40</v>
      </c>
      <c r="B13" s="3" t="s">
        <v>41</v>
      </c>
    </row>
    <row r="14">
      <c r="A14" s="12" t="s">
        <v>42</v>
      </c>
      <c r="B14" s="3" t="s">
        <v>43</v>
      </c>
    </row>
    <row r="15">
      <c r="A15" s="12" t="s">
        <v>44</v>
      </c>
      <c r="B15" s="3" t="s">
        <v>45</v>
      </c>
    </row>
    <row r="16">
      <c r="A16" s="12" t="s">
        <v>46</v>
      </c>
      <c r="B16" s="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